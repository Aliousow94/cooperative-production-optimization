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0D5ADB92-9A32-4716-B80A-E181612DB6BA}" xr6:coauthVersionLast="47" xr6:coauthVersionMax="47" xr10:uidLastSave="{00000000-0000-0000-0000-000000000000}"/>
  <bookViews>
    <workbookView xWindow="-120" yWindow="-120" windowWidth="20730" windowHeight="11160" activeTab="2" xr2:uid="{F63AED66-B565-4685-9039-1E17AECAFBFC}"/>
  </bookViews>
  <sheets>
    <sheet name="Answer Report 2" sheetId="5" r:id="rId1"/>
    <sheet name="Sensitivity Report 2" sheetId="6" r:id="rId2"/>
    <sheet name="Limits Report 2" sheetId="7" r:id="rId3"/>
    <sheet name="Sheet1" sheetId="1" r:id="rId4"/>
  </sheets>
  <definedNames>
    <definedName name="solver_adj" localSheetId="3" hidden="1">Sheet1!$E$3:$G$3</definedName>
    <definedName name="solver_cvg" localSheetId="3" hidden="1">0.0001</definedName>
    <definedName name="solver_drv" localSheetId="3" hidden="1">2</definedName>
    <definedName name="solver_eng" localSheetId="3" hidden="1">2</definedName>
    <definedName name="solver_est" localSheetId="3" hidden="1">1</definedName>
    <definedName name="solver_itr" localSheetId="3" hidden="1">2147483647</definedName>
    <definedName name="solver_lhs1" localSheetId="3" hidden="1">Sheet1!$H$5</definedName>
    <definedName name="solver_lhs2" localSheetId="3" hidden="1">Sheet1!$H$6</definedName>
    <definedName name="solver_lhs3" localSheetId="3" hidden="1">Sheet1!$H$7</definedName>
    <definedName name="solver_lhs4" localSheetId="3" hidden="1">Sheet1!$H$8</definedName>
    <definedName name="solver_lhs5" localSheetId="3" hidden="1">Sheet1!$H$9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5</definedName>
    <definedName name="solver_nwt" localSheetId="3" hidden="1">1</definedName>
    <definedName name="solver_opt" localSheetId="3" hidden="1">Sheet1!$H$4</definedName>
    <definedName name="solver_pre" localSheetId="3" hidden="1">0.000001</definedName>
    <definedName name="solver_rbv" localSheetId="3" hidden="1">2</definedName>
    <definedName name="solver_rel1" localSheetId="3" hidden="1">1</definedName>
    <definedName name="solver_rel2" localSheetId="3" hidden="1">1</definedName>
    <definedName name="solver_rel3" localSheetId="3" hidden="1">1</definedName>
    <definedName name="solver_rel4" localSheetId="3" hidden="1">1</definedName>
    <definedName name="solver_rel5" localSheetId="3" hidden="1">3</definedName>
    <definedName name="solver_rhs1" localSheetId="3" hidden="1">Sheet1!$I$5</definedName>
    <definedName name="solver_rhs2" localSheetId="3" hidden="1">Sheet1!$I$6</definedName>
    <definedName name="solver_rhs3" localSheetId="3" hidden="1">Sheet1!$I$7</definedName>
    <definedName name="solver_rhs4" localSheetId="3" hidden="1">Sheet1!$I$8</definedName>
    <definedName name="solver_rhs5" localSheetId="3" hidden="1">Sheet1!$I$9</definedName>
    <definedName name="solver_rlx" localSheetId="3" hidden="1">2</definedName>
    <definedName name="solver_rsd" localSheetId="3" hidden="1">0</definedName>
    <definedName name="solver_scl" localSheetId="3" hidden="1">2</definedName>
    <definedName name="solver_sho" localSheetId="2" hidden="1">2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1</definedName>
    <definedName name="solver_val" localSheetId="3" hidden="1">0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9" i="1" l="1"/>
  <c r="H8" i="1"/>
  <c r="H7" i="1"/>
  <c r="H6" i="1"/>
  <c r="H5" i="1"/>
  <c r="H4" i="1"/>
</calcChain>
</file>

<file path=xl/sharedStrings.xml><?xml version="1.0" encoding="utf-8"?>
<sst xmlns="http://schemas.openxmlformats.org/spreadsheetml/2006/main" count="142" uniqueCount="70">
  <si>
    <t xml:space="preserve">      </t>
  </si>
  <si>
    <t>x1(Table)</t>
  </si>
  <si>
    <t xml:space="preserve">        x2(Chaise)</t>
  </si>
  <si>
    <t xml:space="preserve">   x3(Armoire)</t>
  </si>
  <si>
    <t>Contrainte 1 ( Bois)</t>
  </si>
  <si>
    <t>Contrainte 2 (Main d'oeuvre )</t>
  </si>
  <si>
    <t>Contrainte 3 ( Machine)</t>
  </si>
  <si>
    <t>Contrainte 4 ( Marché)</t>
  </si>
  <si>
    <t>Contrainte 5 ( contrat)</t>
  </si>
  <si>
    <t>Microsoft Excel 16.0 Answer Report</t>
  </si>
  <si>
    <t>Worksheet: [projet RO EXCEL.xlsx]Sheet1</t>
  </si>
  <si>
    <t>Result: Solver found a solution.  All Constraints and optimality conditions are satisfied.</t>
  </si>
  <si>
    <t>Solver Engine</t>
  </si>
  <si>
    <t>Engine: Simplex LP</t>
  </si>
  <si>
    <t>Solution Time: 0,016 Seconds.</t>
  </si>
  <si>
    <t>Iterations: 3 Subproblems: 0</t>
  </si>
  <si>
    <t>Solver Options</t>
  </si>
  <si>
    <t>Max Time Unlimited,  Iterations Unlimited, Precision 0,000001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</si>
  <si>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</si>
  <si>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</si>
  <si>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</si>
  <si>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</si>
  <si>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</si>
  <si>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</si>
  <si>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</si>
  <si>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</si>
  <si>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</si>
  <si>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</si>
  <si>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</si>
  <si>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</si>
  <si>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</si>
  <si>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$H$4</t>
  </si>
  <si>
    <t>$E$3</t>
  </si>
  <si>
    <t>Contin</t>
  </si>
  <si>
    <t>$F$3</t>
  </si>
  <si>
    <t>$G$3</t>
  </si>
  <si>
    <t>$H$5</t>
  </si>
  <si>
    <t>$H$5&lt;=$I$5</t>
  </si>
  <si>
    <t>Not Binding</t>
  </si>
  <si>
    <t>$H$6</t>
  </si>
  <si>
    <t>$H$6&lt;=$I$6</t>
  </si>
  <si>
    <t>Binding</t>
  </si>
  <si>
    <t>$H$7</t>
  </si>
  <si>
    <t>$H$7&lt;=$I$7</t>
  </si>
  <si>
    <t>$H$8</t>
  </si>
  <si>
    <t>$H$8&lt;=$I$8</t>
  </si>
  <si>
    <t>$H$9</t>
  </si>
  <si>
    <t>$H$9&gt;=$I$9</t>
  </si>
  <si>
    <t>Microsoft Excel 16.0 Sensitivity Report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</si>
  <si>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</si>
  <si>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</si>
  <si>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</si>
  <si>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</si>
  <si>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</si>
  <si>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</si>
  <si>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</si>
  <si>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</si>
  <si>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</si>
  <si>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</si>
  <si>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</si>
  <si>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</si>
  <si>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</si>
  <si>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Microsoft Excel 16.0 Limits Report</t>
  </si>
  <si>
    <t>Variable</t>
  </si>
  <si>
    <t>Lower</t>
  </si>
  <si>
    <t>Limit</t>
  </si>
  <si>
    <t>Result</t>
  </si>
  <si>
    <t>Upper</t>
  </si>
  <si>
    <t>Max(Marge total)</t>
  </si>
  <si>
    <t>Report Created: 30/09/2026 11:49:33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</si>
</sst>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6"/>
      <color theme="7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8"/>
      <color theme="7"/>
      <name val="Calibri"/>
      <family val="2"/>
      <scheme val="minor"/>
    </font>
    <font>
      <b/>
      <sz val="11"/>
      <color indexed="18"/>
      <name val="Calibri"/>
      <family val="2"/>
      <scheme val="minor"/>
    </font>
    <font>
      <b/>
      <sz val="20"/>
      <color theme="4" tint="-0.499984740745262"/>
      <name val="Calibri"/>
      <family val="2"/>
      <scheme val="minor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4" borderId="0" xfId="0" applyFont="1" applyFill="1"/>
    <xf numFmtId="0" fontId="4" fillId="0" borderId="0" xfId="0" applyFont="1"/>
    <xf numFmtId="0" fontId="5" fillId="0" borderId="0" xfId="0" applyFont="1"/>
    <xf numFmtId="0" fontId="3" fillId="4" borderId="0" xfId="0" applyFont="1" applyFill="1"/>
    <xf numFmtId="0" fontId="6" fillId="3" borderId="0" xfId="0" applyFont="1" applyFill="1"/>
    <xf numFmtId="0" fontId="2" fillId="0" borderId="0" xfId="0" applyFont="1"/>
    <xf numFmtId="0" fontId="0" fillId="0" borderId="4" xfId="0" applyFill="1" applyBorder="1" applyAlignment="1"/>
    <xf numFmtId="0" fontId="7" fillId="0" borderId="3" xfId="0" applyFont="1" applyFill="1" applyBorder="1" applyAlignment="1">
      <alignment horizontal="center"/>
    </xf>
    <xf numFmtId="0" fontId="0" fillId="0" borderId="5" xfId="0" applyFill="1" applyBorder="1" applyAlignment="1"/>
    <xf numFmtId="0" fontId="0" fillId="0" borderId="4" xfId="0" applyNumberFormat="1" applyFill="1" applyBorder="1" applyAlignment="1"/>
    <xf numFmtId="0" fontId="0" fillId="0" borderId="5" xfId="0" applyNumberFormat="1" applyFill="1" applyBorder="1" applyAlignment="1"/>
    <xf numFmtId="0" fontId="7" fillId="0" borderId="1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8" fillId="4" borderId="0" xfId="0" applyFont="1" applyFill="1"/>
    <xf numFmtId="0" fontId="0" fillId="2" borderId="0" xfId="0" applyFill="1"/>
    <xf numFmtId="0" fontId="9" fillId="2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B6E46-F427-465A-94CD-AEA3739D7EF0}">
  <dimension ref="A1:G32"/>
  <sheetViews>
    <sheetView showGridLines="0" topLeftCell="A8" zoomScale="77" workbookViewId="0"/>
  </sheetViews>
  <sheetFormatPr defaultRowHeight="15" x14ac:dyDescent="0.25"/>
  <cols>
    <col min="1" max="1" width="2.28515625" customWidth="1"/>
    <col min="2" max="2" width="5.28515625" bestFit="1" customWidth="1"/>
    <col min="3" max="3" width="27.42578125" bestFit="1" customWidth="1"/>
    <col min="4" max="4" width="13.7109375" bestFit="1" customWidth="1"/>
    <col min="5" max="5" width="10.85546875" bestFit="1" customWidth="1"/>
    <col min="6" max="6" width="11.42578125" bestFit="1" customWidth="1"/>
    <col min="7" max="7" width="5.42578125" bestFit="1" customWidth="1"/>
  </cols>
  <sheetData>
    <row r="1" spans="1:5" x14ac:dyDescent="0.25">
      <c r="A1" s="6" t="s">
        <v>9</v>
      </c>
    </row>
    <row r="2" spans="1:5" x14ac:dyDescent="0.25">
      <c r="A2" s="6" t="s">
        <v>10</v>
      </c>
    </row>
    <row r="3" spans="1:5" x14ac:dyDescent="0.25">
      <c r="A3" s="6" t="s">
        <v>69</v>
      </c>
    </row>
    <row r="4" spans="1:5" x14ac:dyDescent="0.25">
      <c r="A4" s="6" t="s">
        <v>11</v>
      </c>
    </row>
    <row r="5" spans="1:5" x14ac:dyDescent="0.25">
      <c r="A5" s="6" t="s">
        <v>12</v>
      </c>
    </row>
    <row r="6" spans="1:5" x14ac:dyDescent="0.25">
      <c r="A6" s="6"/>
      <c r="B6" t="s">
        <v>13</v>
      </c>
    </row>
    <row r="7" spans="1:5" x14ac:dyDescent="0.25">
      <c r="A7" s="6"/>
      <c r="B7" t="s">
        <v>14</v>
      </c>
    </row>
    <row r="8" spans="1:5" x14ac:dyDescent="0.25">
      <c r="A8" s="6"/>
      <c r="B8" t="s">
        <v>15</v>
      </c>
    </row>
    <row r="9" spans="1:5" x14ac:dyDescent="0.25">
      <c r="A9" s="6" t="s">
        <v>16</v>
      </c>
    </row>
    <row r="10" spans="1:5" x14ac:dyDescent="0.25">
      <c r="B10" t="s">
        <v>17</v>
      </c>
    </row>
    <row r="11" spans="1:5" x14ac:dyDescent="0.25">
      <c r="B11" t="s">
        <v>18</v>
      </c>
    </row>
    <row r="14" spans="1:5" ht="15.75" thickBot="1" x14ac:dyDescent="0.3">
      <c r="A14" t="s">
        <v>19</v>
      </c>
    </row>
    <row r="15" spans="1:5" ht="15.75" thickBot="1" x14ac:dyDescent="0.3">
      <c r="B15" s="8" t="s">
        <v>20</v>
      </c>
      <c r="C15" s="8" t="s">
        <v>21</v>
      </c>
      <c r="D15" s="8" t="s">
        <v>22</v>
      </c>
      <c r="E15" s="8" t="s">
        <v>23</v>
      </c>
    </row>
    <row r="16" spans="1:5" ht="15.75" thickBot="1" x14ac:dyDescent="0.3">
      <c r="B16" s="7" t="s">
        <v>31</v>
      </c>
      <c r="C16" s="7" t="s">
        <v>68</v>
      </c>
      <c r="D16" s="10">
        <v>1494999.9999999998</v>
      </c>
      <c r="E16" s="10">
        <v>1494999.9999999998</v>
      </c>
    </row>
    <row r="19" spans="1:7" ht="15.75" thickBot="1" x14ac:dyDescent="0.3">
      <c r="A19" t="s">
        <v>24</v>
      </c>
    </row>
    <row r="20" spans="1:7" ht="15.75" thickBot="1" x14ac:dyDescent="0.3">
      <c r="B20" s="8" t="s">
        <v>20</v>
      </c>
      <c r="C20" s="8" t="s">
        <v>21</v>
      </c>
      <c r="D20" s="8" t="s">
        <v>22</v>
      </c>
      <c r="E20" s="8" t="s">
        <v>23</v>
      </c>
      <c r="F20" s="8" t="s">
        <v>25</v>
      </c>
    </row>
    <row r="21" spans="1:7" x14ac:dyDescent="0.25">
      <c r="B21" s="9" t="s">
        <v>32</v>
      </c>
      <c r="C21" s="9" t="s">
        <v>1</v>
      </c>
      <c r="D21" s="11">
        <v>85</v>
      </c>
      <c r="E21" s="11">
        <v>85</v>
      </c>
      <c r="F21" s="9" t="s">
        <v>33</v>
      </c>
    </row>
    <row r="22" spans="1:7" x14ac:dyDescent="0.25">
      <c r="B22" s="9" t="s">
        <v>34</v>
      </c>
      <c r="C22" s="9" t="s">
        <v>2</v>
      </c>
      <c r="D22" s="11">
        <v>0</v>
      </c>
      <c r="E22" s="11">
        <v>0</v>
      </c>
      <c r="F22" s="9" t="s">
        <v>33</v>
      </c>
    </row>
    <row r="23" spans="1:7" ht="15.75" thickBot="1" x14ac:dyDescent="0.3">
      <c r="B23" s="7" t="s">
        <v>35</v>
      </c>
      <c r="C23" s="7" t="s">
        <v>3</v>
      </c>
      <c r="D23" s="10">
        <v>9.9999999999999929</v>
      </c>
      <c r="E23" s="10">
        <v>9.9999999999999929</v>
      </c>
      <c r="F23" s="7" t="s">
        <v>33</v>
      </c>
    </row>
    <row r="26" spans="1:7" ht="15.75" thickBot="1" x14ac:dyDescent="0.3">
      <c r="A26" t="s">
        <v>26</v>
      </c>
    </row>
    <row r="27" spans="1:7" ht="15.75" thickBot="1" x14ac:dyDescent="0.3">
      <c r="B27" s="8" t="s">
        <v>20</v>
      </c>
      <c r="C27" s="8" t="s">
        <v>21</v>
      </c>
      <c r="D27" s="8" t="s">
        <v>27</v>
      </c>
      <c r="E27" s="8" t="s">
        <v>28</v>
      </c>
      <c r="F27" s="8" t="s">
        <v>29</v>
      </c>
      <c r="G27" s="8" t="s">
        <v>30</v>
      </c>
    </row>
    <row r="28" spans="1:7" x14ac:dyDescent="0.25">
      <c r="B28" s="9" t="s">
        <v>36</v>
      </c>
      <c r="C28" s="9" t="s">
        <v>4</v>
      </c>
      <c r="D28" s="11">
        <v>799.99999999999989</v>
      </c>
      <c r="E28" s="9" t="s">
        <v>37</v>
      </c>
      <c r="F28" s="9" t="s">
        <v>38</v>
      </c>
      <c r="G28" s="9">
        <v>100.00000000000011</v>
      </c>
    </row>
    <row r="29" spans="1:7" x14ac:dyDescent="0.25">
      <c r="B29" s="9" t="s">
        <v>39</v>
      </c>
      <c r="C29" s="9" t="s">
        <v>5</v>
      </c>
      <c r="D29" s="11">
        <v>399.99999999999994</v>
      </c>
      <c r="E29" s="9" t="s">
        <v>40</v>
      </c>
      <c r="F29" s="9" t="s">
        <v>41</v>
      </c>
      <c r="G29" s="9">
        <v>0</v>
      </c>
    </row>
    <row r="30" spans="1:7" x14ac:dyDescent="0.25">
      <c r="B30" s="9" t="s">
        <v>42</v>
      </c>
      <c r="C30" s="9" t="s">
        <v>6</v>
      </c>
      <c r="D30" s="11">
        <v>199.99999999999997</v>
      </c>
      <c r="E30" s="9" t="s">
        <v>43</v>
      </c>
      <c r="F30" s="9" t="s">
        <v>38</v>
      </c>
      <c r="G30" s="9">
        <v>20.000000000000028</v>
      </c>
    </row>
    <row r="31" spans="1:7" x14ac:dyDescent="0.25">
      <c r="B31" s="9" t="s">
        <v>44</v>
      </c>
      <c r="C31" s="9" t="s">
        <v>7</v>
      </c>
      <c r="D31" s="11">
        <v>0</v>
      </c>
      <c r="E31" s="9" t="s">
        <v>45</v>
      </c>
      <c r="F31" s="9" t="s">
        <v>38</v>
      </c>
      <c r="G31" s="9">
        <v>60</v>
      </c>
    </row>
    <row r="32" spans="1:7" ht="15.75" thickBot="1" x14ac:dyDescent="0.3">
      <c r="B32" s="7" t="s">
        <v>46</v>
      </c>
      <c r="C32" s="7" t="s">
        <v>8</v>
      </c>
      <c r="D32" s="10">
        <v>9.9999999999999929</v>
      </c>
      <c r="E32" s="7" t="s">
        <v>47</v>
      </c>
      <c r="F32" s="7" t="s">
        <v>41</v>
      </c>
      <c r="G32" s="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97455-4755-4421-BB89-0BD1D48A2F9F}">
  <dimension ref="A1:H20"/>
  <sheetViews>
    <sheetView showGridLines="0" topLeftCell="A3" zoomScale="104" workbookViewId="0"/>
  </sheetViews>
  <sheetFormatPr defaultRowHeight="15" x14ac:dyDescent="0.25"/>
  <cols>
    <col min="1" max="1" width="2.28515625" customWidth="1"/>
    <col min="2" max="2" width="5.28515625" bestFit="1" customWidth="1"/>
    <col min="3" max="3" width="27.42578125" bestFit="1" customWidth="1"/>
    <col min="4" max="4" width="6.140625" bestFit="1" customWidth="1"/>
    <col min="5" max="5" width="8.7109375" bestFit="1" customWidth="1"/>
    <col min="6" max="6" width="10.85546875" bestFit="1" customWidth="1"/>
    <col min="7" max="8" width="12" bestFit="1" customWidth="1"/>
  </cols>
  <sheetData>
    <row r="1" spans="1:8" x14ac:dyDescent="0.25">
      <c r="A1" s="6" t="s">
        <v>48</v>
      </c>
    </row>
    <row r="2" spans="1:8" x14ac:dyDescent="0.25">
      <c r="A2" s="6" t="s">
        <v>10</v>
      </c>
    </row>
    <row r="3" spans="1:8" x14ac:dyDescent="0.25">
      <c r="A3" s="6" t="s">
        <v>69</v>
      </c>
    </row>
    <row r="6" spans="1:8" ht="15.75" thickBot="1" x14ac:dyDescent="0.3">
      <c r="A6" t="s">
        <v>24</v>
      </c>
    </row>
    <row r="7" spans="1:8" x14ac:dyDescent="0.25">
      <c r="B7" s="12"/>
      <c r="C7" s="12"/>
      <c r="D7" s="12" t="s">
        <v>49</v>
      </c>
      <c r="E7" s="12" t="s">
        <v>51</v>
      </c>
      <c r="F7" s="12" t="s">
        <v>53</v>
      </c>
      <c r="G7" s="12" t="s">
        <v>55</v>
      </c>
      <c r="H7" s="12" t="s">
        <v>55</v>
      </c>
    </row>
    <row r="8" spans="1:8" ht="15.75" thickBot="1" x14ac:dyDescent="0.3">
      <c r="B8" s="13" t="s">
        <v>20</v>
      </c>
      <c r="C8" s="13" t="s">
        <v>21</v>
      </c>
      <c r="D8" s="13" t="s">
        <v>50</v>
      </c>
      <c r="E8" s="13" t="s">
        <v>52</v>
      </c>
      <c r="F8" s="13" t="s">
        <v>54</v>
      </c>
      <c r="G8" s="13" t="s">
        <v>56</v>
      </c>
      <c r="H8" s="13" t="s">
        <v>57</v>
      </c>
    </row>
    <row r="9" spans="1:8" x14ac:dyDescent="0.25">
      <c r="B9" s="9" t="s">
        <v>32</v>
      </c>
      <c r="C9" s="9" t="s">
        <v>1</v>
      </c>
      <c r="D9" s="9">
        <v>85</v>
      </c>
      <c r="E9" s="9">
        <v>0</v>
      </c>
      <c r="F9" s="9">
        <v>15000</v>
      </c>
      <c r="G9" s="9">
        <v>1E+30</v>
      </c>
      <c r="H9" s="9">
        <v>333.33333333333394</v>
      </c>
    </row>
    <row r="10" spans="1:8" x14ac:dyDescent="0.25">
      <c r="B10" s="9" t="s">
        <v>34</v>
      </c>
      <c r="C10" s="9" t="s">
        <v>2</v>
      </c>
      <c r="D10" s="9">
        <v>0</v>
      </c>
      <c r="E10" s="9">
        <v>-1625.0000000000002</v>
      </c>
      <c r="F10" s="9">
        <v>4000</v>
      </c>
      <c r="G10" s="9">
        <v>1625.0000000000002</v>
      </c>
      <c r="H10" s="9">
        <v>1E+30</v>
      </c>
    </row>
    <row r="11" spans="1:8" ht="15.75" thickBot="1" x14ac:dyDescent="0.3">
      <c r="B11" s="7" t="s">
        <v>35</v>
      </c>
      <c r="C11" s="7" t="s">
        <v>3</v>
      </c>
      <c r="D11" s="7">
        <v>9.9999999999999929</v>
      </c>
      <c r="E11" s="7">
        <v>0</v>
      </c>
      <c r="F11" s="7">
        <v>22000</v>
      </c>
      <c r="G11" s="7">
        <v>500.00000000000091</v>
      </c>
      <c r="H11" s="7">
        <v>1E+30</v>
      </c>
    </row>
    <row r="13" spans="1:8" ht="15.75" thickBot="1" x14ac:dyDescent="0.3">
      <c r="A13" t="s">
        <v>26</v>
      </c>
    </row>
    <row r="14" spans="1:8" x14ac:dyDescent="0.25">
      <c r="B14" s="12"/>
      <c r="C14" s="12"/>
      <c r="D14" s="12" t="s">
        <v>49</v>
      </c>
      <c r="E14" s="12" t="s">
        <v>58</v>
      </c>
      <c r="F14" s="12" t="s">
        <v>60</v>
      </c>
      <c r="G14" s="12" t="s">
        <v>55</v>
      </c>
      <c r="H14" s="12" t="s">
        <v>55</v>
      </c>
    </row>
    <row r="15" spans="1:8" ht="15.75" thickBot="1" x14ac:dyDescent="0.3">
      <c r="B15" s="13" t="s">
        <v>20</v>
      </c>
      <c r="C15" s="13" t="s">
        <v>21</v>
      </c>
      <c r="D15" s="13" t="s">
        <v>50</v>
      </c>
      <c r="E15" s="13" t="s">
        <v>59</v>
      </c>
      <c r="F15" s="13" t="s">
        <v>61</v>
      </c>
      <c r="G15" s="13" t="s">
        <v>56</v>
      </c>
      <c r="H15" s="13" t="s">
        <v>57</v>
      </c>
    </row>
    <row r="16" spans="1:8" x14ac:dyDescent="0.25">
      <c r="B16" s="9" t="s">
        <v>36</v>
      </c>
      <c r="C16" s="9" t="s">
        <v>4</v>
      </c>
      <c r="D16" s="9">
        <v>799.99999999999989</v>
      </c>
      <c r="E16" s="9">
        <v>0</v>
      </c>
      <c r="F16" s="9">
        <v>900</v>
      </c>
      <c r="G16" s="9">
        <v>1E+30</v>
      </c>
      <c r="H16" s="9">
        <v>100</v>
      </c>
    </row>
    <row r="17" spans="2:8" x14ac:dyDescent="0.25">
      <c r="B17" s="9" t="s">
        <v>39</v>
      </c>
      <c r="C17" s="9" t="s">
        <v>5</v>
      </c>
      <c r="D17" s="9">
        <v>399.99999999999994</v>
      </c>
      <c r="E17" s="9">
        <v>3750</v>
      </c>
      <c r="F17" s="9">
        <v>400</v>
      </c>
      <c r="G17" s="9">
        <v>40</v>
      </c>
      <c r="H17" s="9">
        <v>340</v>
      </c>
    </row>
    <row r="18" spans="2:8" x14ac:dyDescent="0.25">
      <c r="B18" s="9" t="s">
        <v>42</v>
      </c>
      <c r="C18" s="9" t="s">
        <v>6</v>
      </c>
      <c r="D18" s="9">
        <v>199.99999999999997</v>
      </c>
      <c r="E18" s="9">
        <v>0</v>
      </c>
      <c r="F18" s="9">
        <v>220</v>
      </c>
      <c r="G18" s="9">
        <v>1E+30</v>
      </c>
      <c r="H18" s="9">
        <v>20</v>
      </c>
    </row>
    <row r="19" spans="2:8" x14ac:dyDescent="0.25">
      <c r="B19" s="9" t="s">
        <v>44</v>
      </c>
      <c r="C19" s="9" t="s">
        <v>7</v>
      </c>
      <c r="D19" s="9">
        <v>0</v>
      </c>
      <c r="E19" s="9">
        <v>0</v>
      </c>
      <c r="F19" s="9">
        <v>60</v>
      </c>
      <c r="G19" s="9">
        <v>1E+30</v>
      </c>
      <c r="H19" s="9">
        <v>60</v>
      </c>
    </row>
    <row r="20" spans="2:8" ht="15.75" thickBot="1" x14ac:dyDescent="0.3">
      <c r="B20" s="7" t="s">
        <v>46</v>
      </c>
      <c r="C20" s="7" t="s">
        <v>8</v>
      </c>
      <c r="D20" s="7">
        <v>9.9999999999999929</v>
      </c>
      <c r="E20" s="7">
        <v>-500.00000000000091</v>
      </c>
      <c r="F20" s="7">
        <v>10</v>
      </c>
      <c r="G20" s="7">
        <v>56.666666666666664</v>
      </c>
      <c r="H20" s="7">
        <v>9.9999999999999929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BA823-BA70-4BA8-AC65-87EFA7DDC90D}">
  <dimension ref="A1:J15"/>
  <sheetViews>
    <sheetView showGridLines="0" tabSelected="1" workbookViewId="0"/>
  </sheetViews>
  <sheetFormatPr defaultRowHeight="15" x14ac:dyDescent="0.25"/>
  <cols>
    <col min="1" max="1" width="2.28515625" customWidth="1"/>
    <col min="2" max="2" width="5.28515625" bestFit="1" customWidth="1"/>
    <col min="3" max="3" width="16.42578125" bestFit="1" customWidth="1"/>
    <col min="4" max="4" width="8" bestFit="1" customWidth="1"/>
    <col min="5" max="5" width="2.28515625" customWidth="1"/>
    <col min="6" max="6" width="6.42578125" bestFit="1" customWidth="1"/>
    <col min="7" max="7" width="9.5703125" bestFit="1" customWidth="1"/>
    <col min="8" max="8" width="2.28515625" customWidth="1"/>
    <col min="9" max="9" width="12" bestFit="1" customWidth="1"/>
    <col min="10" max="10" width="9.5703125" bestFit="1" customWidth="1"/>
  </cols>
  <sheetData>
    <row r="1" spans="1:10" x14ac:dyDescent="0.25">
      <c r="A1" s="6" t="s">
        <v>62</v>
      </c>
    </row>
    <row r="2" spans="1:10" x14ac:dyDescent="0.25">
      <c r="A2" s="6" t="s">
        <v>10</v>
      </c>
    </row>
    <row r="3" spans="1:10" x14ac:dyDescent="0.25">
      <c r="A3" s="6" t="s">
        <v>69</v>
      </c>
    </row>
    <row r="5" spans="1:10" ht="15.75" thickBot="1" x14ac:dyDescent="0.3"/>
    <row r="6" spans="1:10" x14ac:dyDescent="0.25">
      <c r="B6" s="12"/>
      <c r="C6" s="12" t="s">
        <v>53</v>
      </c>
      <c r="D6" s="12"/>
    </row>
    <row r="7" spans="1:10" ht="15.75" thickBot="1" x14ac:dyDescent="0.3">
      <c r="B7" s="13" t="s">
        <v>20</v>
      </c>
      <c r="C7" s="13" t="s">
        <v>21</v>
      </c>
      <c r="D7" s="13" t="s">
        <v>50</v>
      </c>
    </row>
    <row r="8" spans="1:10" ht="15.75" thickBot="1" x14ac:dyDescent="0.3">
      <c r="B8" s="7" t="s">
        <v>31</v>
      </c>
      <c r="C8" s="7" t="s">
        <v>68</v>
      </c>
      <c r="D8" s="10">
        <v>1494999.9999999998</v>
      </c>
    </row>
    <row r="10" spans="1:10" ht="15.75" thickBot="1" x14ac:dyDescent="0.3"/>
    <row r="11" spans="1:10" x14ac:dyDescent="0.25">
      <c r="B11" s="12"/>
      <c r="C11" s="12" t="s">
        <v>63</v>
      </c>
      <c r="D11" s="12"/>
      <c r="F11" s="12" t="s">
        <v>64</v>
      </c>
      <c r="G11" s="12" t="s">
        <v>53</v>
      </c>
      <c r="I11" s="12" t="s">
        <v>67</v>
      </c>
      <c r="J11" s="12" t="s">
        <v>53</v>
      </c>
    </row>
    <row r="12" spans="1:10" ht="15.75" thickBot="1" x14ac:dyDescent="0.3">
      <c r="B12" s="13" t="s">
        <v>20</v>
      </c>
      <c r="C12" s="13" t="s">
        <v>21</v>
      </c>
      <c r="D12" s="13" t="s">
        <v>50</v>
      </c>
      <c r="F12" s="13" t="s">
        <v>65</v>
      </c>
      <c r="G12" s="13" t="s">
        <v>66</v>
      </c>
      <c r="I12" s="13" t="s">
        <v>65</v>
      </c>
      <c r="J12" s="13" t="s">
        <v>66</v>
      </c>
    </row>
    <row r="13" spans="1:10" x14ac:dyDescent="0.25">
      <c r="B13" s="9" t="s">
        <v>32</v>
      </c>
      <c r="C13" s="9" t="s">
        <v>1</v>
      </c>
      <c r="D13" s="11">
        <v>85</v>
      </c>
      <c r="F13" s="11">
        <v>0</v>
      </c>
      <c r="G13" s="11">
        <v>219999.99999999985</v>
      </c>
      <c r="I13" s="11">
        <v>85.000000000000014</v>
      </c>
      <c r="J13" s="11">
        <v>1495000</v>
      </c>
    </row>
    <row r="14" spans="1:10" x14ac:dyDescent="0.25">
      <c r="B14" s="9" t="s">
        <v>34</v>
      </c>
      <c r="C14" s="9" t="s">
        <v>2</v>
      </c>
      <c r="D14" s="11">
        <v>0</v>
      </c>
      <c r="F14" s="11">
        <v>0</v>
      </c>
      <c r="G14" s="11">
        <v>1494999.9999999998</v>
      </c>
      <c r="I14" s="11">
        <v>3.7895612573872008E-14</v>
      </c>
      <c r="J14" s="11">
        <v>1495000</v>
      </c>
    </row>
    <row r="15" spans="1:10" ht="15.75" thickBot="1" x14ac:dyDescent="0.3">
      <c r="B15" s="7" t="s">
        <v>35</v>
      </c>
      <c r="C15" s="7" t="s">
        <v>3</v>
      </c>
      <c r="D15" s="10">
        <v>9.9999999999999929</v>
      </c>
      <c r="F15" s="10">
        <v>10</v>
      </c>
      <c r="G15" s="10">
        <v>1495000</v>
      </c>
      <c r="I15" s="10">
        <v>10</v>
      </c>
      <c r="J15" s="10">
        <v>1495000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BCEE3-4FB4-430D-B159-93C44687B8B3}">
  <dimension ref="B1:I9"/>
  <sheetViews>
    <sheetView topLeftCell="C1" workbookViewId="0">
      <selection activeCell="I3" sqref="I3"/>
    </sheetView>
  </sheetViews>
  <sheetFormatPr defaultRowHeight="15" x14ac:dyDescent="0.25"/>
  <cols>
    <col min="1" max="1" width="6.140625" customWidth="1"/>
    <col min="2" max="2" width="9.140625" hidden="1" customWidth="1"/>
    <col min="3" max="3" width="4" customWidth="1"/>
    <col min="4" max="4" width="30.42578125" customWidth="1"/>
    <col min="5" max="5" width="11.42578125" customWidth="1"/>
    <col min="6" max="6" width="18.28515625" customWidth="1"/>
    <col min="7" max="7" width="19.140625" customWidth="1"/>
    <col min="8" max="8" width="16" customWidth="1"/>
    <col min="9" max="9" width="12.7109375" customWidth="1"/>
  </cols>
  <sheetData>
    <row r="1" spans="2:9" x14ac:dyDescent="0.25">
      <c r="B1" t="s">
        <v>0</v>
      </c>
    </row>
    <row r="2" spans="2:9" ht="18.75" x14ac:dyDescent="0.3">
      <c r="E2" s="16" t="s">
        <v>1</v>
      </c>
      <c r="F2" s="17" t="s">
        <v>2</v>
      </c>
      <c r="G2" s="17" t="s">
        <v>3</v>
      </c>
    </row>
    <row r="3" spans="2:9" ht="23.25" customHeight="1" x14ac:dyDescent="0.35">
      <c r="E3" s="5">
        <v>85</v>
      </c>
      <c r="F3" s="5">
        <v>0</v>
      </c>
      <c r="G3" s="5">
        <v>9.9999999999999929</v>
      </c>
    </row>
    <row r="4" spans="2:9" ht="27.75" customHeight="1" x14ac:dyDescent="0.4">
      <c r="D4" s="14" t="s">
        <v>68</v>
      </c>
      <c r="E4" s="1">
        <v>15000</v>
      </c>
      <c r="F4" s="1">
        <v>4000</v>
      </c>
      <c r="G4" s="1">
        <v>22000</v>
      </c>
      <c r="H4" s="4">
        <f>SUMPRODUCT(E3:G3,E4:G4)</f>
        <v>1494999.9999999998</v>
      </c>
      <c r="I4" s="15"/>
    </row>
    <row r="5" spans="2:9" ht="23.25" customHeight="1" x14ac:dyDescent="0.35">
      <c r="D5" t="s">
        <v>4</v>
      </c>
      <c r="E5" s="2">
        <v>8</v>
      </c>
      <c r="F5" s="2">
        <v>2</v>
      </c>
      <c r="G5" s="2">
        <v>12</v>
      </c>
      <c r="H5" s="4">
        <f>SUMPRODUCT(E3:G3, E5:G5)</f>
        <v>799.99999999999989</v>
      </c>
      <c r="I5" s="3">
        <v>900</v>
      </c>
    </row>
    <row r="6" spans="2:9" ht="19.5" customHeight="1" x14ac:dyDescent="0.35">
      <c r="D6" t="s">
        <v>5</v>
      </c>
      <c r="E6" s="2">
        <v>4</v>
      </c>
      <c r="F6" s="2">
        <v>1.5</v>
      </c>
      <c r="G6" s="2">
        <v>6</v>
      </c>
      <c r="H6" s="4">
        <f>SUMPRODUCT(E3:G3, E6:G6)</f>
        <v>399.99999999999994</v>
      </c>
      <c r="I6" s="3">
        <v>400</v>
      </c>
    </row>
    <row r="7" spans="2:9" ht="19.5" customHeight="1" x14ac:dyDescent="0.35">
      <c r="D7" t="s">
        <v>6</v>
      </c>
      <c r="E7" s="2">
        <v>2</v>
      </c>
      <c r="F7" s="2">
        <v>1</v>
      </c>
      <c r="G7" s="2">
        <v>3</v>
      </c>
      <c r="H7" s="4">
        <f>SUMPRODUCT(E3:G3, E7:G7)</f>
        <v>199.99999999999997</v>
      </c>
      <c r="I7" s="3">
        <v>220</v>
      </c>
    </row>
    <row r="8" spans="2:9" ht="20.25" customHeight="1" x14ac:dyDescent="0.35">
      <c r="D8" t="s">
        <v>7</v>
      </c>
      <c r="E8" s="2">
        <v>0</v>
      </c>
      <c r="F8" s="2">
        <v>1</v>
      </c>
      <c r="G8" s="2">
        <v>0</v>
      </c>
      <c r="H8" s="4">
        <f>F3</f>
        <v>0</v>
      </c>
      <c r="I8" s="3">
        <v>60</v>
      </c>
    </row>
    <row r="9" spans="2:9" ht="19.5" customHeight="1" x14ac:dyDescent="0.35">
      <c r="D9" t="s">
        <v>8</v>
      </c>
      <c r="E9" s="2">
        <v>0</v>
      </c>
      <c r="F9" s="2">
        <v>0</v>
      </c>
      <c r="G9" s="2">
        <v>1</v>
      </c>
      <c r="H9" s="4">
        <f>G3</f>
        <v>9.9999999999999929</v>
      </c>
      <c r="I9" s="3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Answer Report 2</vt:lpstr>
      <vt:lpstr>Sensitivity Report 2</vt:lpstr>
      <vt:lpstr>Limits Report 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bada sall</dc:creator>
  <cp:lastModifiedBy>bada sall</cp:lastModifiedBy>
  <dcterms:created xsi:type="dcterms:W3CDTF">2026-09-30T00:18:02Z</dcterms:created>
  <dcterms:modified xsi:type="dcterms:W3CDTF">2026-09-30T11:59:33Z</dcterms:modified>
</cp:coreProperties>
</file>